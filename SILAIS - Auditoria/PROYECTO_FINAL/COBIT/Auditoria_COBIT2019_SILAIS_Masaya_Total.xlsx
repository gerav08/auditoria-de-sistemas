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08" yWindow="600" windowWidth="15612" windowHeight="7092"/>
  </bookViews>
  <sheets>
    <sheet name="Resumen de Madurez" sheetId="1" r:id="rId1"/>
    <sheet name="Cálculo DSS01" sheetId="2" r:id="rId2"/>
    <sheet name="Cálculo DSS02" sheetId="3" r:id="rId3"/>
    <sheet name="Cálculo DSS03" sheetId="4" r:id="rId4"/>
    <sheet name="Cálculo DSS04" sheetId="5" r:id="rId5"/>
    <sheet name="Cálculo DSS05" sheetId="6" r:id="rId6"/>
    <sheet name="Matriz de Prácticas" sheetId="7" r:id="rId7"/>
  </sheets>
  <calcPr calcId="144525"/>
</workbook>
</file>

<file path=xl/calcChain.xml><?xml version="1.0" encoding="utf-8"?>
<calcChain xmlns="http://schemas.openxmlformats.org/spreadsheetml/2006/main">
  <c r="B10" i="6" l="1"/>
  <c r="C10" i="6" s="1"/>
  <c r="B9" i="6"/>
  <c r="C9" i="6" s="1"/>
  <c r="B8" i="6"/>
  <c r="C8" i="6" s="1"/>
  <c r="B7" i="6"/>
  <c r="C7" i="6" s="1"/>
  <c r="B6" i="6"/>
  <c r="C14" i="6" s="1"/>
  <c r="C10" i="1" s="1"/>
  <c r="E10" i="1" s="1"/>
  <c r="B10" i="5"/>
  <c r="C10" i="5" s="1"/>
  <c r="B9" i="5"/>
  <c r="C9" i="5" s="1"/>
  <c r="B8" i="5"/>
  <c r="C8" i="5" s="1"/>
  <c r="B7" i="5"/>
  <c r="C7" i="5" s="1"/>
  <c r="B6" i="5"/>
  <c r="C6" i="5" s="1"/>
  <c r="C14" i="4"/>
  <c r="C8" i="1" s="1"/>
  <c r="E8" i="1" s="1"/>
  <c r="B10" i="4"/>
  <c r="C10" i="4" s="1"/>
  <c r="B9" i="4"/>
  <c r="C9" i="4" s="1"/>
  <c r="B8" i="4"/>
  <c r="C8" i="4" s="1"/>
  <c r="B7" i="4"/>
  <c r="C7" i="4" s="1"/>
  <c r="B6" i="4"/>
  <c r="C6" i="4" s="1"/>
  <c r="B10" i="3"/>
  <c r="C10" i="3" s="1"/>
  <c r="B9" i="3"/>
  <c r="C9" i="3" s="1"/>
  <c r="B8" i="3"/>
  <c r="C8" i="3" s="1"/>
  <c r="B7" i="3"/>
  <c r="C7" i="3" s="1"/>
  <c r="B6" i="3"/>
  <c r="C6" i="3" s="1"/>
  <c r="B10" i="2"/>
  <c r="C10" i="2" s="1"/>
  <c r="B9" i="2"/>
  <c r="C9" i="2" s="1"/>
  <c r="B8" i="2"/>
  <c r="C8" i="2" s="1"/>
  <c r="B7" i="2"/>
  <c r="C7" i="2" s="1"/>
  <c r="B6" i="2"/>
  <c r="C6" i="2" s="1"/>
  <c r="D10" i="1"/>
  <c r="D9" i="1"/>
  <c r="D8" i="1"/>
  <c r="D7" i="1"/>
  <c r="D6" i="1"/>
  <c r="C14" i="5" l="1"/>
  <c r="C9" i="1" s="1"/>
  <c r="E9" i="1" s="1"/>
  <c r="C6" i="6"/>
  <c r="C14" i="3"/>
  <c r="C7" i="1" s="1"/>
  <c r="E7" i="1" s="1"/>
  <c r="C14" i="2"/>
  <c r="C6" i="1" s="1"/>
  <c r="E6" i="1" s="1"/>
</calcChain>
</file>

<file path=xl/sharedStrings.xml><?xml version="1.0" encoding="utf-8"?>
<sst xmlns="http://schemas.openxmlformats.org/spreadsheetml/2006/main" count="78" uniqueCount="54">
  <si>
    <t>AUDITORÍA DE SISTEMAS - INFRAESTRUCTURA DE RED SILAIS MASAYA</t>
  </si>
  <si>
    <t>Evaluación Consolidada del Nivel de Madurez (Dominio DSS - COBIT 2019)</t>
  </si>
  <si>
    <t>ID Proceso</t>
  </si>
  <si>
    <t>Descripción del Proceso</t>
  </si>
  <si>
    <t>Nivel Obtenido</t>
  </si>
  <si>
    <t>Nivel Objetivo</t>
  </si>
  <si>
    <t>Brecha de Capacidad</t>
  </si>
  <si>
    <t>DSS01</t>
  </si>
  <si>
    <t>Gestión de las Operaciones</t>
  </si>
  <si>
    <t>DSS02</t>
  </si>
  <si>
    <t>Gestión de Peticiones e Incidentes de Servicio</t>
  </si>
  <si>
    <t>DSS03</t>
  </si>
  <si>
    <t>Gestión de Problemas</t>
  </si>
  <si>
    <t>DSS04</t>
  </si>
  <si>
    <t>Gestión de la Continuidad</t>
  </si>
  <si>
    <t>DSS05</t>
  </si>
  <si>
    <t>Gestión de los Servicios de Seguridad</t>
  </si>
  <si>
    <t>Meta Global (Nivel Objetivo):</t>
  </si>
  <si>
    <t>MECANISMO MATEMÁTICO EN CASCADA - PROCESO DSS01</t>
  </si>
  <si>
    <t>Cálculo de madurez según COBIT 2019 CPM</t>
  </si>
  <si>
    <t>Nivel de Capacidad</t>
  </si>
  <si>
    <t>Promedio de Cumplimiento Técnico</t>
  </si>
  <si>
    <t>Estado de Aprobación (&gt;50%)</t>
  </si>
  <si>
    <t>DICTAMEN FINAL DEL MOTOR MATEMÁTICO:</t>
  </si>
  <si>
    <t>NIVEL DE MADUREZ FINAL CALCULADO:</t>
  </si>
  <si>
    <t>MECANISMO MATEMÁTICO EN CASCADA - PROCESO DSS02</t>
  </si>
  <si>
    <t>MECANISMO MATEMÁTICO EN CASCADA - PROCESO DSS03</t>
  </si>
  <si>
    <t>MECANISMO MATEMÁTICO EN CASCADA - PROCESO DSS04</t>
  </si>
  <si>
    <t>MECANISMO MATEMÁTICO EN CASCADA - PROCESO DSS05</t>
  </si>
  <si>
    <t>ID Práctica</t>
  </si>
  <si>
    <t>Referencia al Hallazgo / Control</t>
  </si>
  <si>
    <t>Nivel</t>
  </si>
  <si>
    <t>% Cumplimiento</t>
  </si>
  <si>
    <t>DSS01.01</t>
  </si>
  <si>
    <t>La red transmite datos, estrangulamiento 100 Mbps</t>
  </si>
  <si>
    <t>DSS01.04</t>
  </si>
  <si>
    <t>Sin clima, sin protección eléctrica</t>
  </si>
  <si>
    <t>DSS01.05</t>
  </si>
  <si>
    <t>Cableado expuesto, sin mantenimiento</t>
  </si>
  <si>
    <t>DSS02.01</t>
  </si>
  <si>
    <t>Resolución de problemas verbal e informal</t>
  </si>
  <si>
    <t>DSS02.02</t>
  </si>
  <si>
    <t>Sin sistema de tickets o Service Desk</t>
  </si>
  <si>
    <t>DSS03.01</t>
  </si>
  <si>
    <t>Confusión de incidentes y problemas, sin KDB</t>
  </si>
  <si>
    <t>DSS04.01</t>
  </si>
  <si>
    <t>Inexistencia de Plan DRP o BCP</t>
  </si>
  <si>
    <t>DSS05.01</t>
  </si>
  <si>
    <t>Resolución DNS Cloudflare 1.1.1.3</t>
  </si>
  <si>
    <t>DSS05.02</t>
  </si>
  <si>
    <t>Cifrado robusto en red inalámbrica (WPA2)</t>
  </si>
  <si>
    <t>DSS05.03</t>
  </si>
  <si>
    <t>Topología plana sin segmentación de VLANs</t>
  </si>
  <si>
    <t>RECOLECCIÓN DE PRÁCTICAS DE AUDITORÍA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</si>
</sst>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5"/>
      <color rgb="FF1F497D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b/>
      <sz val="12"/>
      <color rgb="FF1F497D"/>
      <name val="Arial"/>
    </font>
    <font>
      <b/>
      <sz val="10"/>
      <color rgb="FFC00000"/>
      <name val="Arial"/>
    </font>
    <font>
      <sz val="10"/>
      <name val="Arial"/>
    </font>
    <font>
      <b/>
      <sz val="11"/>
      <color rgb="FF1F497D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4" fillId="3" borderId="0" xfId="0" applyFont="1" applyFill="1"/>
    <xf numFmtId="0" fontId="8" fillId="3" borderId="2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US"/>
              <a:t>Comparativa: Nivel Obtenido vs Nivel Objetivo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de Madurez'!$C$5</c:f>
              <c:strCache>
                <c:ptCount val="1"/>
                <c:pt idx="0">
                  <c:v>Nivel Obtenido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'Resumen de Madurez'!$A$6:$A$10</c:f>
              <c:strCache>
                <c:ptCount val="5"/>
                <c:pt idx="0">
                  <c:v>DSS01</c:v>
                </c:pt>
                <c:pt idx="1">
                  <c:v>DSS02</c:v>
                </c:pt>
                <c:pt idx="2">
                  <c:v>DSS03</c:v>
                </c:pt>
                <c:pt idx="3">
                  <c:v>DSS04</c:v>
                </c:pt>
                <c:pt idx="4">
                  <c:v>DSS05</c:v>
                </c:pt>
              </c:strCache>
            </c:strRef>
          </c:cat>
          <c:val>
            <c:numRef>
              <c:f>'Resumen de Madurez'!$C$6:$C$10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'Resumen de Madurez'!$D$5</c:f>
              <c:strCache>
                <c:ptCount val="1"/>
                <c:pt idx="0">
                  <c:v>Nivel Objetivo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'Resumen de Madurez'!$A$6:$A$10</c:f>
              <c:strCache>
                <c:ptCount val="5"/>
                <c:pt idx="0">
                  <c:v>DSS01</c:v>
                </c:pt>
                <c:pt idx="1">
                  <c:v>DSS02</c:v>
                </c:pt>
                <c:pt idx="2">
                  <c:v>DSS03</c:v>
                </c:pt>
                <c:pt idx="3">
                  <c:v>DSS04</c:v>
                </c:pt>
                <c:pt idx="4">
                  <c:v>DSS05</c:v>
                </c:pt>
              </c:strCache>
            </c:strRef>
          </c:cat>
          <c:val>
            <c:numRef>
              <c:f>'Resumen de Madurez'!$D$6:$D$10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954624"/>
        <c:axId val="50956544"/>
      </c:barChart>
      <c:catAx>
        <c:axId val="5095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Procesos COBIT 2019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crossAx val="50956544"/>
        <c:crosses val="autoZero"/>
        <c:auto val="0"/>
        <c:lblAlgn val="ctr"/>
        <c:lblOffset val="100"/>
        <c:noMultiLvlLbl val="0"/>
      </c:catAx>
      <c:valAx>
        <c:axId val="50956544"/>
        <c:scaling>
          <c:orientation val="minMax"/>
          <c:max val="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Escala de Madurez (0-5)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50954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6480000" cy="46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74" customWidth="1"/>
    <col min="2" max="2" width="50" customWidth="1"/>
    <col min="3" max="3" width="33" customWidth="1"/>
    <col min="4" max="4" width="18" customWidth="1"/>
    <col min="5" max="5" width="23" customWidth="1"/>
  </cols>
  <sheetData>
    <row r="2" spans="1:5" ht="19.2" x14ac:dyDescent="0.35">
      <c r="A2" s="1" t="s">
        <v>0</v>
      </c>
    </row>
    <row r="3" spans="1:5" x14ac:dyDescent="0.3">
      <c r="A3" s="2" t="s">
        <v>1</v>
      </c>
    </row>
    <row r="5" spans="1:5" ht="28.05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ht="22.05" customHeight="1" x14ac:dyDescent="0.3">
      <c r="A6" s="4" t="s">
        <v>7</v>
      </c>
      <c r="B6" s="5" t="s">
        <v>8</v>
      </c>
      <c r="C6" s="4">
        <f>'Cálculo DSS01'!C14</f>
        <v>0</v>
      </c>
      <c r="D6" s="4">
        <f>$D$14</f>
        <v>4</v>
      </c>
      <c r="E6" s="6">
        <f>C6-D6</f>
        <v>-4</v>
      </c>
    </row>
    <row r="7" spans="1:5" ht="22.05" customHeight="1" x14ac:dyDescent="0.3">
      <c r="A7" s="7" t="s">
        <v>9</v>
      </c>
      <c r="B7" s="8" t="s">
        <v>10</v>
      </c>
      <c r="C7" s="7">
        <f>'Cálculo DSS02'!C14</f>
        <v>0</v>
      </c>
      <c r="D7" s="7">
        <f>$D$14</f>
        <v>4</v>
      </c>
      <c r="E7" s="6">
        <f>C7-D7</f>
        <v>-4</v>
      </c>
    </row>
    <row r="8" spans="1:5" ht="22.05" customHeight="1" x14ac:dyDescent="0.3">
      <c r="A8" s="4" t="s">
        <v>11</v>
      </c>
      <c r="B8" s="5" t="s">
        <v>12</v>
      </c>
      <c r="C8" s="4">
        <f>'Cálculo DSS03'!C14</f>
        <v>0</v>
      </c>
      <c r="D8" s="4">
        <f>$D$14</f>
        <v>4</v>
      </c>
      <c r="E8" s="6">
        <f>C8-D8</f>
        <v>-4</v>
      </c>
    </row>
    <row r="9" spans="1:5" ht="22.05" customHeight="1" x14ac:dyDescent="0.3">
      <c r="A9" s="7" t="s">
        <v>13</v>
      </c>
      <c r="B9" s="8" t="s">
        <v>14</v>
      </c>
      <c r="C9" s="7">
        <f>'Cálculo DSS04'!C14</f>
        <v>0</v>
      </c>
      <c r="D9" s="7">
        <f>$D$14</f>
        <v>4</v>
      </c>
      <c r="E9" s="6">
        <f>C9-D9</f>
        <v>-4</v>
      </c>
    </row>
    <row r="10" spans="1:5" ht="22.05" customHeight="1" x14ac:dyDescent="0.3">
      <c r="A10" s="4" t="s">
        <v>15</v>
      </c>
      <c r="B10" s="5" t="s">
        <v>16</v>
      </c>
      <c r="C10" s="4">
        <f>'Cálculo DSS05'!C14</f>
        <v>1</v>
      </c>
      <c r="D10" s="4">
        <f>$D$14</f>
        <v>4</v>
      </c>
      <c r="E10" s="6">
        <f>C10-D10</f>
        <v>-3</v>
      </c>
    </row>
    <row r="14" spans="1:5" ht="15.6" x14ac:dyDescent="0.3">
      <c r="C14" s="9" t="s">
        <v>17</v>
      </c>
      <c r="D14" s="10">
        <v>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51" customWidth="1"/>
    <col min="2" max="2" width="43.5546875" customWidth="1"/>
    <col min="3" max="3" width="38.5546875" customWidth="1"/>
  </cols>
  <sheetData>
    <row r="2" spans="1:3" ht="19.2" x14ac:dyDescent="0.35">
      <c r="A2" s="1" t="s">
        <v>18</v>
      </c>
    </row>
    <row r="3" spans="1:3" x14ac:dyDescent="0.3">
      <c r="A3" s="2" t="s">
        <v>19</v>
      </c>
    </row>
    <row r="5" spans="1:3" ht="28.05" customHeight="1" x14ac:dyDescent="0.3">
      <c r="A5" s="3" t="s">
        <v>20</v>
      </c>
      <c r="B5" s="3" t="s">
        <v>21</v>
      </c>
      <c r="C5" s="3" t="s">
        <v>22</v>
      </c>
    </row>
    <row r="6" spans="1:3" ht="22.05" customHeight="1" x14ac:dyDescent="0.3">
      <c r="A6" s="11">
        <v>1</v>
      </c>
      <c r="B6" s="12">
        <f>IFERROR(AVERAGEIFS('Matriz de Prácticas'!$D:$D, 'Matriz de Prácticas'!$A:$A, "DSS01*", 'Matriz de Prácticas'!$C:$C, A6), 0)</f>
        <v>0.4</v>
      </c>
      <c r="C6" s="11" t="str">
        <f>IF(B6&gt;0.5, "Aprobado", "No Aprobado")</f>
        <v>No Aprobado</v>
      </c>
    </row>
    <row r="7" spans="1:3" ht="22.05" customHeight="1" x14ac:dyDescent="0.3">
      <c r="A7" s="13">
        <v>2</v>
      </c>
      <c r="B7" s="14">
        <f>IFERROR(AVERAGEIFS('Matriz de Prácticas'!$D:$D, 'Matriz de Prácticas'!$A:$A, "DSS01*", 'Matriz de Prácticas'!$C:$C, A7), 0)</f>
        <v>2.5000000000000001E-2</v>
      </c>
      <c r="C7" s="13" t="str">
        <f>IF(B7&gt;0.5, "Aprobado", "No Aprobado")</f>
        <v>No Aprobado</v>
      </c>
    </row>
    <row r="8" spans="1:3" ht="22.05" customHeight="1" x14ac:dyDescent="0.3">
      <c r="A8" s="11">
        <v>3</v>
      </c>
      <c r="B8" s="12">
        <f>IFERROR(AVERAGEIFS('Matriz de Prácticas'!$D:$D, 'Matriz de Prácticas'!$A:$A, "DSS01*", 'Matriz de Prácticas'!$C:$C, A8), 0)</f>
        <v>0</v>
      </c>
      <c r="C8" s="11" t="str">
        <f>IF(B8&gt;0.5, "Aprobado", "No Aprobado")</f>
        <v>No Aprobado</v>
      </c>
    </row>
    <row r="9" spans="1:3" ht="22.05" customHeight="1" x14ac:dyDescent="0.3">
      <c r="A9" s="13">
        <v>4</v>
      </c>
      <c r="B9" s="14">
        <f>IFERROR(AVERAGEIFS('Matriz de Prácticas'!$D:$D, 'Matriz de Prácticas'!$A:$A, "DSS01*", 'Matriz de Prácticas'!$C:$C, A9), 0)</f>
        <v>0</v>
      </c>
      <c r="C9" s="13" t="str">
        <f>IF(B9&gt;0.5, "Aprobado", "No Aprobado")</f>
        <v>No Aprobado</v>
      </c>
    </row>
    <row r="10" spans="1:3" ht="22.05" customHeight="1" x14ac:dyDescent="0.3">
      <c r="A10" s="11">
        <v>5</v>
      </c>
      <c r="B10" s="12">
        <f>IFERROR(AVERAGEIFS('Matriz de Prácticas'!$D:$D, 'Matriz de Prácticas'!$A:$A, "DSS01*", 'Matriz de Prácticas'!$C:$C, A10), 0)</f>
        <v>0</v>
      </c>
      <c r="C10" s="11" t="str">
        <f>IF(B10&gt;0.5, "Aprobado", "No Aprobado")</f>
        <v>No Aprobado</v>
      </c>
    </row>
    <row r="13" spans="1:3" x14ac:dyDescent="0.3">
      <c r="A13" s="15" t="s">
        <v>23</v>
      </c>
    </row>
    <row r="14" spans="1:3" x14ac:dyDescent="0.3">
      <c r="A14" s="16" t="s">
        <v>24</v>
      </c>
      <c r="C14" s="17">
        <f>IF(B6&lt;=0.5, 0, IF(B7&lt;=0.5, 1, IF(B8&lt;=0.5, 2, IF(B9&lt;=0.5, 3, IF(B10&lt;=0.5, 4, 5)))))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workbookViewId="0">
      <selection activeCell="A28" sqref="A28"/>
    </sheetView>
  </sheetViews>
  <sheetFormatPr baseColWidth="10" defaultColWidth="8.88671875" defaultRowHeight="14.4" x14ac:dyDescent="0.3"/>
  <cols>
    <col min="1" max="1" width="51" customWidth="1"/>
    <col min="2" max="2" width="46" customWidth="1"/>
    <col min="3" max="3" width="40.44140625" customWidth="1"/>
  </cols>
  <sheetData>
    <row r="2" spans="1:3" ht="19.2" x14ac:dyDescent="0.35">
      <c r="A2" s="1" t="s">
        <v>25</v>
      </c>
    </row>
    <row r="3" spans="1:3" x14ac:dyDescent="0.3">
      <c r="A3" s="2" t="s">
        <v>19</v>
      </c>
    </row>
    <row r="5" spans="1:3" ht="28.05" customHeight="1" x14ac:dyDescent="0.3">
      <c r="A5" s="3" t="s">
        <v>20</v>
      </c>
      <c r="B5" s="3" t="s">
        <v>21</v>
      </c>
      <c r="C5" s="3" t="s">
        <v>22</v>
      </c>
    </row>
    <row r="6" spans="1:3" ht="22.05" customHeight="1" x14ac:dyDescent="0.3">
      <c r="A6" s="11">
        <v>1</v>
      </c>
      <c r="B6" s="12">
        <f>IFERROR(AVERAGEIFS('Matriz de Prácticas'!$D:$D, 'Matriz de Prácticas'!$A:$A, "DSS02*", 'Matriz de Prácticas'!$C:$C, A6), 0)</f>
        <v>0.2</v>
      </c>
      <c r="C6" s="11" t="str">
        <f>IF(B6&gt;0.5, "Aprobado", "No Aprobado")</f>
        <v>No Aprobado</v>
      </c>
    </row>
    <row r="7" spans="1:3" ht="22.05" customHeight="1" x14ac:dyDescent="0.3">
      <c r="A7" s="13">
        <v>2</v>
      </c>
      <c r="B7" s="14">
        <f>IFERROR(AVERAGEIFS('Matriz de Prácticas'!$D:$D, 'Matriz de Prácticas'!$A:$A, "DSS02*", 'Matriz de Prácticas'!$C:$C, A7), 0)</f>
        <v>0</v>
      </c>
      <c r="C7" s="13" t="str">
        <f>IF(B7&gt;0.5, "Aprobado", "No Aprobado")</f>
        <v>No Aprobado</v>
      </c>
    </row>
    <row r="8" spans="1:3" ht="22.05" customHeight="1" x14ac:dyDescent="0.3">
      <c r="A8" s="11">
        <v>3</v>
      </c>
      <c r="B8" s="12">
        <f>IFERROR(AVERAGEIFS('Matriz de Prácticas'!$D:$D, 'Matriz de Prácticas'!$A:$A, "DSS02*", 'Matriz de Prácticas'!$C:$C, A8), 0)</f>
        <v>0</v>
      </c>
      <c r="C8" s="11" t="str">
        <f>IF(B8&gt;0.5, "Aprobado", "No Aprobado")</f>
        <v>No Aprobado</v>
      </c>
    </row>
    <row r="9" spans="1:3" ht="22.05" customHeight="1" x14ac:dyDescent="0.3">
      <c r="A9" s="13">
        <v>4</v>
      </c>
      <c r="B9" s="14">
        <f>IFERROR(AVERAGEIFS('Matriz de Prácticas'!$D:$D, 'Matriz de Prácticas'!$A:$A, "DSS02*", 'Matriz de Prácticas'!$C:$C, A9), 0)</f>
        <v>0</v>
      </c>
      <c r="C9" s="13" t="str">
        <f>IF(B9&gt;0.5, "Aprobado", "No Aprobado")</f>
        <v>No Aprobado</v>
      </c>
    </row>
    <row r="10" spans="1:3" ht="22.05" customHeight="1" x14ac:dyDescent="0.3">
      <c r="A10" s="11">
        <v>5</v>
      </c>
      <c r="B10" s="12">
        <f>IFERROR(AVERAGEIFS('Matriz de Prácticas'!$D:$D, 'Matriz de Prácticas'!$A:$A, "DSS02*", 'Matriz de Prácticas'!$C:$C, A10), 0)</f>
        <v>0</v>
      </c>
      <c r="C10" s="11" t="str">
        <f>IF(B10&gt;0.5, "Aprobado", "No Aprobado")</f>
        <v>No Aprobado</v>
      </c>
    </row>
    <row r="13" spans="1:3" x14ac:dyDescent="0.3">
      <c r="A13" s="15" t="s">
        <v>23</v>
      </c>
    </row>
    <row r="14" spans="1:3" x14ac:dyDescent="0.3">
      <c r="A14" s="16" t="s">
        <v>24</v>
      </c>
      <c r="C14" s="17">
        <f>IF(B6&lt;=0.5, 0, IF(B7&lt;=0.5, 1, IF(B8&lt;=0.5, 2, IF(B9&lt;=0.5, 3, IF(B10&lt;=0.5, 4, 5)))))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workbookViewId="0"/>
  </sheetViews>
  <sheetFormatPr baseColWidth="10" defaultColWidth="8.88671875" defaultRowHeight="14.4" x14ac:dyDescent="0.3"/>
  <cols>
    <col min="1" max="1" width="51" customWidth="1"/>
    <col min="2" max="2" width="41.5546875" customWidth="1"/>
    <col min="3" max="3" width="38.109375" customWidth="1"/>
  </cols>
  <sheetData>
    <row r="2" spans="1:3" ht="19.2" x14ac:dyDescent="0.35">
      <c r="A2" s="1" t="s">
        <v>26</v>
      </c>
    </row>
    <row r="3" spans="1:3" x14ac:dyDescent="0.3">
      <c r="A3" s="2" t="s">
        <v>19</v>
      </c>
    </row>
    <row r="5" spans="1:3" ht="28.05" customHeight="1" x14ac:dyDescent="0.3">
      <c r="A5" s="3" t="s">
        <v>20</v>
      </c>
      <c r="B5" s="3" t="s">
        <v>21</v>
      </c>
      <c r="C5" s="3" t="s">
        <v>22</v>
      </c>
    </row>
    <row r="6" spans="1:3" ht="22.05" customHeight="1" x14ac:dyDescent="0.3">
      <c r="A6" s="11">
        <v>1</v>
      </c>
      <c r="B6" s="12">
        <f>IFERROR(AVERAGEIFS('Matriz de Prácticas'!$D:$D, 'Matriz de Prácticas'!$A:$A, "DSS03*", 'Matriz de Prácticas'!$C:$C, A6), 0)</f>
        <v>0.1</v>
      </c>
      <c r="C6" s="11" t="str">
        <f>IF(B6&gt;0.5, "Aprobado", "No Aprobado")</f>
        <v>No Aprobado</v>
      </c>
    </row>
    <row r="7" spans="1:3" ht="22.05" customHeight="1" x14ac:dyDescent="0.3">
      <c r="A7" s="13">
        <v>2</v>
      </c>
      <c r="B7" s="14">
        <f>IFERROR(AVERAGEIFS('Matriz de Prácticas'!$D:$D, 'Matriz de Prácticas'!$A:$A, "DSS03*", 'Matriz de Prácticas'!$C:$C, A7), 0)</f>
        <v>0</v>
      </c>
      <c r="C7" s="13" t="str">
        <f>IF(B7&gt;0.5, "Aprobado", "No Aprobado")</f>
        <v>No Aprobado</v>
      </c>
    </row>
    <row r="8" spans="1:3" ht="22.05" customHeight="1" x14ac:dyDescent="0.3">
      <c r="A8" s="11">
        <v>3</v>
      </c>
      <c r="B8" s="12">
        <f>IFERROR(AVERAGEIFS('Matriz de Prácticas'!$D:$D, 'Matriz de Prácticas'!$A:$A, "DSS03*", 'Matriz de Prácticas'!$C:$C, A8), 0)</f>
        <v>0</v>
      </c>
      <c r="C8" s="11" t="str">
        <f>IF(B8&gt;0.5, "Aprobado", "No Aprobado")</f>
        <v>No Aprobado</v>
      </c>
    </row>
    <row r="9" spans="1:3" ht="22.05" customHeight="1" x14ac:dyDescent="0.3">
      <c r="A9" s="13">
        <v>4</v>
      </c>
      <c r="B9" s="14">
        <f>IFERROR(AVERAGEIFS('Matriz de Prácticas'!$D:$D, 'Matriz de Prácticas'!$A:$A, "DSS03*", 'Matriz de Prácticas'!$C:$C, A9), 0)</f>
        <v>0</v>
      </c>
      <c r="C9" s="13" t="str">
        <f>IF(B9&gt;0.5, "Aprobado", "No Aprobado")</f>
        <v>No Aprobado</v>
      </c>
    </row>
    <row r="10" spans="1:3" ht="22.05" customHeight="1" x14ac:dyDescent="0.3">
      <c r="A10" s="11">
        <v>5</v>
      </c>
      <c r="B10" s="12">
        <f>IFERROR(AVERAGEIFS('Matriz de Prácticas'!$D:$D, 'Matriz de Prácticas'!$A:$A, "DSS03*", 'Matriz de Prácticas'!$C:$C, A10), 0)</f>
        <v>0</v>
      </c>
      <c r="C10" s="11" t="str">
        <f>IF(B10&gt;0.5, "Aprobado", "No Aprobado")</f>
        <v>No Aprobado</v>
      </c>
    </row>
    <row r="13" spans="1:3" x14ac:dyDescent="0.3">
      <c r="A13" s="15" t="s">
        <v>23</v>
      </c>
    </row>
    <row r="14" spans="1:3" x14ac:dyDescent="0.3">
      <c r="A14" s="16" t="s">
        <v>24</v>
      </c>
      <c r="C14" s="17">
        <f>IF(B6&lt;=0.5, 0, IF(B7&lt;=0.5, 1, IF(B8&lt;=0.5, 2, IF(B9&lt;=0.5, 3, IF(B10&lt;=0.5, 4, 5)))))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workbookViewId="0"/>
  </sheetViews>
  <sheetFormatPr baseColWidth="10" defaultColWidth="8.88671875" defaultRowHeight="14.4" x14ac:dyDescent="0.3"/>
  <cols>
    <col min="1" max="1" width="51" customWidth="1"/>
    <col min="2" max="2" width="36.109375" customWidth="1"/>
    <col min="3" max="3" width="51.109375" customWidth="1"/>
  </cols>
  <sheetData>
    <row r="2" spans="1:3" ht="19.2" x14ac:dyDescent="0.35">
      <c r="A2" s="1" t="s">
        <v>27</v>
      </c>
    </row>
    <row r="3" spans="1:3" x14ac:dyDescent="0.3">
      <c r="A3" s="2" t="s">
        <v>19</v>
      </c>
    </row>
    <row r="5" spans="1:3" ht="28.05" customHeight="1" x14ac:dyDescent="0.3">
      <c r="A5" s="3" t="s">
        <v>20</v>
      </c>
      <c r="B5" s="3" t="s">
        <v>21</v>
      </c>
      <c r="C5" s="3" t="s">
        <v>22</v>
      </c>
    </row>
    <row r="6" spans="1:3" ht="22.05" customHeight="1" x14ac:dyDescent="0.3">
      <c r="A6" s="11">
        <v>1</v>
      </c>
      <c r="B6" s="12">
        <f>IFERROR(AVERAGEIFS('Matriz de Prácticas'!$D:$D, 'Matriz de Prácticas'!$A:$A, "DSS04*", 'Matriz de Prácticas'!$C:$C, A6), 0)</f>
        <v>0</v>
      </c>
      <c r="C6" s="11" t="str">
        <f>IF(B6&gt;0.5, "Aprobado", "No Aprobado")</f>
        <v>No Aprobado</v>
      </c>
    </row>
    <row r="7" spans="1:3" ht="22.05" customHeight="1" x14ac:dyDescent="0.3">
      <c r="A7" s="13">
        <v>2</v>
      </c>
      <c r="B7" s="14">
        <f>IFERROR(AVERAGEIFS('Matriz de Prácticas'!$D:$D, 'Matriz de Prácticas'!$A:$A, "DSS04*", 'Matriz de Prácticas'!$C:$C, A7), 0)</f>
        <v>0</v>
      </c>
      <c r="C7" s="13" t="str">
        <f>IF(B7&gt;0.5, "Aprobado", "No Aprobado")</f>
        <v>No Aprobado</v>
      </c>
    </row>
    <row r="8" spans="1:3" ht="22.05" customHeight="1" x14ac:dyDescent="0.3">
      <c r="A8" s="11">
        <v>3</v>
      </c>
      <c r="B8" s="12">
        <f>IFERROR(AVERAGEIFS('Matriz de Prácticas'!$D:$D, 'Matriz de Prácticas'!$A:$A, "DSS04*", 'Matriz de Prácticas'!$C:$C, A8), 0)</f>
        <v>0</v>
      </c>
      <c r="C8" s="11" t="str">
        <f>IF(B8&gt;0.5, "Aprobado", "No Aprobado")</f>
        <v>No Aprobado</v>
      </c>
    </row>
    <row r="9" spans="1:3" ht="22.05" customHeight="1" x14ac:dyDescent="0.3">
      <c r="A9" s="13">
        <v>4</v>
      </c>
      <c r="B9" s="14">
        <f>IFERROR(AVERAGEIFS('Matriz de Prácticas'!$D:$D, 'Matriz de Prácticas'!$A:$A, "DSS04*", 'Matriz de Prácticas'!$C:$C, A9), 0)</f>
        <v>0</v>
      </c>
      <c r="C9" s="13" t="str">
        <f>IF(B9&gt;0.5, "Aprobado", "No Aprobado")</f>
        <v>No Aprobado</v>
      </c>
    </row>
    <row r="10" spans="1:3" ht="22.05" customHeight="1" x14ac:dyDescent="0.3">
      <c r="A10" s="11">
        <v>5</v>
      </c>
      <c r="B10" s="12">
        <f>IFERROR(AVERAGEIFS('Matriz de Prácticas'!$D:$D, 'Matriz de Prácticas'!$A:$A, "DSS04*", 'Matriz de Prácticas'!$C:$C, A10), 0)</f>
        <v>0</v>
      </c>
      <c r="C10" s="11" t="str">
        <f>IF(B10&gt;0.5, "Aprobado", "No Aprobado")</f>
        <v>No Aprobado</v>
      </c>
    </row>
    <row r="13" spans="1:3" x14ac:dyDescent="0.3">
      <c r="A13" s="15" t="s">
        <v>23</v>
      </c>
    </row>
    <row r="14" spans="1:3" x14ac:dyDescent="0.3">
      <c r="A14" s="16" t="s">
        <v>24</v>
      </c>
      <c r="C14" s="17">
        <f>IF(B6&lt;=0.5, 0, IF(B7&lt;=0.5, 1, IF(B8&lt;=0.5, 2, IF(B9&lt;=0.5, 3, IF(B10&lt;=0.5, 4, 5)))))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workbookViewId="0">
      <selection activeCell="B21" sqref="B21"/>
    </sheetView>
  </sheetViews>
  <sheetFormatPr baseColWidth="10" defaultColWidth="8.88671875" defaultRowHeight="14.4" x14ac:dyDescent="0.3"/>
  <cols>
    <col min="1" max="1" width="51" customWidth="1"/>
    <col min="2" max="2" width="45.44140625" customWidth="1"/>
    <col min="3" max="3" width="51.21875" customWidth="1"/>
  </cols>
  <sheetData>
    <row r="2" spans="1:3" ht="19.2" x14ac:dyDescent="0.35">
      <c r="A2" s="1" t="s">
        <v>28</v>
      </c>
    </row>
    <row r="3" spans="1:3" x14ac:dyDescent="0.3">
      <c r="A3" s="2" t="s">
        <v>19</v>
      </c>
    </row>
    <row r="5" spans="1:3" ht="28.05" customHeight="1" x14ac:dyDescent="0.3">
      <c r="A5" s="3" t="s">
        <v>20</v>
      </c>
      <c r="B5" s="3" t="s">
        <v>21</v>
      </c>
      <c r="C5" s="3" t="s">
        <v>22</v>
      </c>
    </row>
    <row r="6" spans="1:3" ht="22.05" customHeight="1" x14ac:dyDescent="0.3">
      <c r="A6" s="11">
        <v>1</v>
      </c>
      <c r="B6" s="12">
        <f>IFERROR(AVERAGEIFS('Matriz de Prácticas'!$D:$D, 'Matriz de Prácticas'!$A:$A, "DSS05*", 'Matriz de Prácticas'!$C:$C, A6), 0)</f>
        <v>0.875</v>
      </c>
      <c r="C6" s="11" t="str">
        <f>IF(B6&gt;0.5, "Aprobado", "No Aprobado")</f>
        <v>Aprobado</v>
      </c>
    </row>
    <row r="7" spans="1:3" ht="22.05" customHeight="1" x14ac:dyDescent="0.3">
      <c r="A7" s="13">
        <v>2</v>
      </c>
      <c r="B7" s="14">
        <f>IFERROR(AVERAGEIFS('Matriz de Prácticas'!$D:$D, 'Matriz de Prácticas'!$A:$A, "DSS05*", 'Matriz de Prácticas'!$C:$C, A7), 0)</f>
        <v>0.15</v>
      </c>
      <c r="C7" s="13" t="str">
        <f>IF(B7&gt;0.5, "Aprobado", "No Aprobado")</f>
        <v>No Aprobado</v>
      </c>
    </row>
    <row r="8" spans="1:3" ht="22.05" customHeight="1" x14ac:dyDescent="0.3">
      <c r="A8" s="11">
        <v>3</v>
      </c>
      <c r="B8" s="12">
        <f>IFERROR(AVERAGEIFS('Matriz de Prácticas'!$D:$D, 'Matriz de Prácticas'!$A:$A, "DSS05*", 'Matriz de Prácticas'!$C:$C, A8), 0)</f>
        <v>0</v>
      </c>
      <c r="C8" s="11" t="str">
        <f>IF(B8&gt;0.5, "Aprobado", "No Aprobado")</f>
        <v>No Aprobado</v>
      </c>
    </row>
    <row r="9" spans="1:3" ht="22.05" customHeight="1" x14ac:dyDescent="0.3">
      <c r="A9" s="13">
        <v>4</v>
      </c>
      <c r="B9" s="14">
        <f>IFERROR(AVERAGEIFS('Matriz de Prácticas'!$D:$D, 'Matriz de Prácticas'!$A:$A, "DSS05*", 'Matriz de Prácticas'!$C:$C, A9), 0)</f>
        <v>0</v>
      </c>
      <c r="C9" s="13" t="str">
        <f>IF(B9&gt;0.5, "Aprobado", "No Aprobado")</f>
        <v>No Aprobado</v>
      </c>
    </row>
    <row r="10" spans="1:3" ht="22.05" customHeight="1" x14ac:dyDescent="0.3">
      <c r="A10" s="11">
        <v>5</v>
      </c>
      <c r="B10" s="12">
        <f>IFERROR(AVERAGEIFS('Matriz de Prácticas'!$D:$D, 'Matriz de Prácticas'!$A:$A, "DSS05*", 'Matriz de Prácticas'!$C:$C, A10), 0)</f>
        <v>0</v>
      </c>
      <c r="C10" s="11" t="str">
        <f>IF(B10&gt;0.5, "Aprobado", "No Aprobado")</f>
        <v>No Aprobado</v>
      </c>
    </row>
    <row r="13" spans="1:3" x14ac:dyDescent="0.3">
      <c r="A13" s="15" t="s">
        <v>23</v>
      </c>
    </row>
    <row r="14" spans="1:3" x14ac:dyDescent="0.3">
      <c r="A14" s="16" t="s">
        <v>24</v>
      </c>
      <c r="C14" s="17">
        <f>IF(B6&lt;=0.5, 0, IF(B7&lt;=0.5, 1, IF(B8&lt;=0.5, 2, IF(B9&lt;=0.5, 3, IF(B10&lt;=0.5, 4, 5)))))</f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workbookViewId="0">
      <selection activeCell="B22" sqref="B22"/>
    </sheetView>
  </sheetViews>
  <sheetFormatPr baseColWidth="10" defaultColWidth="8.88671875" defaultRowHeight="14.4" x14ac:dyDescent="0.3"/>
  <cols>
    <col min="1" max="1" width="56" customWidth="1"/>
    <col min="2" max="2" width="53" customWidth="1"/>
    <col min="3" max="3" width="12" customWidth="1"/>
    <col min="4" max="4" width="18" customWidth="1"/>
  </cols>
  <sheetData>
    <row r="2" spans="1:4" ht="19.2" x14ac:dyDescent="0.35">
      <c r="A2" s="1" t="s">
        <v>53</v>
      </c>
    </row>
    <row r="4" spans="1:4" x14ac:dyDescent="0.3">
      <c r="A4" s="3" t="s">
        <v>29</v>
      </c>
      <c r="B4" s="3" t="s">
        <v>30</v>
      </c>
      <c r="C4" s="3" t="s">
        <v>31</v>
      </c>
      <c r="D4" s="3" t="s">
        <v>32</v>
      </c>
    </row>
    <row r="5" spans="1:4" x14ac:dyDescent="0.3">
      <c r="A5" s="13" t="s">
        <v>33</v>
      </c>
      <c r="B5" s="8" t="s">
        <v>34</v>
      </c>
      <c r="C5" s="13">
        <v>1</v>
      </c>
      <c r="D5" s="18">
        <v>0.4</v>
      </c>
    </row>
    <row r="6" spans="1:4" x14ac:dyDescent="0.3">
      <c r="A6" s="11" t="s">
        <v>35</v>
      </c>
      <c r="B6" s="5" t="s">
        <v>36</v>
      </c>
      <c r="C6" s="11">
        <v>2</v>
      </c>
      <c r="D6" s="19">
        <v>0</v>
      </c>
    </row>
    <row r="7" spans="1:4" x14ac:dyDescent="0.3">
      <c r="A7" s="13" t="s">
        <v>37</v>
      </c>
      <c r="B7" s="8" t="s">
        <v>38</v>
      </c>
      <c r="C7" s="13">
        <v>2</v>
      </c>
      <c r="D7" s="18">
        <v>0.05</v>
      </c>
    </row>
    <row r="8" spans="1:4" x14ac:dyDescent="0.3">
      <c r="A8" s="11" t="s">
        <v>39</v>
      </c>
      <c r="B8" s="5" t="s">
        <v>40</v>
      </c>
      <c r="C8" s="11">
        <v>1</v>
      </c>
      <c r="D8" s="19">
        <v>0.2</v>
      </c>
    </row>
    <row r="9" spans="1:4" x14ac:dyDescent="0.3">
      <c r="A9" s="13" t="s">
        <v>41</v>
      </c>
      <c r="B9" s="8" t="s">
        <v>42</v>
      </c>
      <c r="C9" s="13">
        <v>2</v>
      </c>
      <c r="D9" s="18">
        <v>0</v>
      </c>
    </row>
    <row r="10" spans="1:4" x14ac:dyDescent="0.3">
      <c r="A10" s="11" t="s">
        <v>43</v>
      </c>
      <c r="B10" s="5" t="s">
        <v>44</v>
      </c>
      <c r="C10" s="11">
        <v>1</v>
      </c>
      <c r="D10" s="19">
        <v>0.1</v>
      </c>
    </row>
    <row r="11" spans="1:4" x14ac:dyDescent="0.3">
      <c r="A11" s="13" t="s">
        <v>45</v>
      </c>
      <c r="B11" s="8" t="s">
        <v>46</v>
      </c>
      <c r="C11" s="13">
        <v>1</v>
      </c>
      <c r="D11" s="18">
        <v>0</v>
      </c>
    </row>
    <row r="12" spans="1:4" x14ac:dyDescent="0.3">
      <c r="A12" s="11" t="s">
        <v>47</v>
      </c>
      <c r="B12" s="5" t="s">
        <v>48</v>
      </c>
      <c r="C12" s="11">
        <v>1</v>
      </c>
      <c r="D12" s="19">
        <v>0.85</v>
      </c>
    </row>
    <row r="13" spans="1:4" x14ac:dyDescent="0.3">
      <c r="A13" s="13" t="s">
        <v>49</v>
      </c>
      <c r="B13" s="8" t="s">
        <v>50</v>
      </c>
      <c r="C13" s="13">
        <v>1</v>
      </c>
      <c r="D13" s="18">
        <v>0.9</v>
      </c>
    </row>
    <row r="14" spans="1:4" x14ac:dyDescent="0.3">
      <c r="A14" s="11" t="s">
        <v>51</v>
      </c>
      <c r="B14" s="5" t="s">
        <v>52</v>
      </c>
      <c r="C14" s="11">
        <v>2</v>
      </c>
      <c r="D14" s="19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de Madurez</vt:lpstr>
      <vt:lpstr>Cálculo DSS01</vt:lpstr>
      <vt:lpstr>Cálculo DSS02</vt:lpstr>
      <vt:lpstr>Cálculo DSS03</vt:lpstr>
      <vt:lpstr>Cálculo DSS04</vt:lpstr>
      <vt:lpstr>Cálculo DSS05</vt:lpstr>
      <vt:lpstr>Matriz de Prácticas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 Valdivia</cp:lastModifiedBy>
  <dcterms:created xsi:type="dcterms:W3CDTF">2026-06-12T01:42:25Z</dcterms:created>
  <dcterms:modified xsi:type="dcterms:W3CDTF">2026-06-12T01:50:50Z</dcterms:modified>
</cp:coreProperties>
</file>