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8" windowWidth="22116" windowHeight="9288"/>
  </bookViews>
  <sheets>
    <sheet name="Evaluacion_DSS01" sheetId="1" r:id="rId1"/>
    <sheet name="Matriz_Niveles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I2" i="1" l="1"/>
  <c r="I8" i="1" s="1"/>
  <c r="I3" i="1"/>
  <c r="C3" i="1"/>
  <c r="C4" i="1"/>
  <c r="C2" i="1"/>
  <c r="E3" i="1"/>
  <c r="E4" i="1"/>
  <c r="E2" i="1"/>
</calcChain>
</file>

<file path=xl/sharedStrings.xml><?xml version="1.0" encoding="utf-8"?>
<sst xmlns="http://schemas.openxmlformats.org/spreadsheetml/2006/main" count="37" uniqueCount="32">
  <si>
    <t>De 0% a 15%</t>
  </si>
  <si>
    <t>Escala N-P-L-F</t>
  </si>
  <si>
    <t>De 15% a 50%</t>
  </si>
  <si>
    <t>De 50% a 85%</t>
  </si>
  <si>
    <t>De 85% a 100%</t>
  </si>
  <si>
    <t>DSS01.01</t>
  </si>
  <si>
    <t>Ejecutar procedimientos operativos (La red transmite datos, aunque con estrangulamiento a 100Mbps - H3)</t>
  </si>
  <si>
    <t>DSS01.04</t>
  </si>
  <si>
    <t>Gestionar el entorno físico (Sin clima, sin protección eléctrica - H4)</t>
  </si>
  <si>
    <t>DSS01.05</t>
  </si>
  <si>
    <t>Gestionar instalaciones (Cableado expuesto, sin mantenimiento preventivo - H1, H2)</t>
  </si>
  <si>
    <t>DSS02.05</t>
  </si>
  <si>
    <t>DSS02.02</t>
  </si>
  <si>
    <t>DSS03.01</t>
  </si>
  <si>
    <t>DSS03.02</t>
  </si>
  <si>
    <t>DSS04.01</t>
  </si>
  <si>
    <t>DSS04.03</t>
  </si>
  <si>
    <t>DSS05.01</t>
  </si>
  <si>
    <t>DSS05.02</t>
  </si>
  <si>
    <t>APO12.01</t>
  </si>
  <si>
    <t>ID Práctica</t>
  </si>
  <si>
    <t>Referencia al Hallazgo</t>
  </si>
  <si>
    <t>Nivel</t>
  </si>
  <si>
    <t>% Cumplimiento</t>
  </si>
  <si>
    <t>N (No alcanzado)</t>
  </si>
  <si>
    <t>P (Parcialmente alcanzado)</t>
  </si>
  <si>
    <t>L (Ampliamente alcanzado)</t>
  </si>
  <si>
    <t>F (Totalmente alcanzado)</t>
  </si>
  <si>
    <t>Calificación N-P-L-F</t>
  </si>
  <si>
    <t>Nivel Oficial</t>
  </si>
  <si>
    <t>Promedio DSS01</t>
  </si>
  <si>
    <t>NIVEL DE MADUREZ FINAL DSS01: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</si>
</sst>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3.5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66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 indent="1"/>
    </xf>
    <xf numFmtId="0" fontId="3" fillId="0" borderId="0" xfId="0" applyFont="1" applyAlignment="1">
      <alignment vertical="center"/>
    </xf>
    <xf numFmtId="0" fontId="4" fillId="0" borderId="0" xfId="0" applyFont="1" applyBorder="1" applyAlignment="1">
      <alignment horizontal="left" vertical="center" wrapText="1" indent="1"/>
    </xf>
    <xf numFmtId="0" fontId="5" fillId="0" borderId="0" xfId="0" applyFont="1" applyBorder="1" applyAlignment="1">
      <alignment horizontal="left" vertical="center" wrapText="1" indent="1"/>
    </xf>
    <xf numFmtId="9" fontId="5" fillId="0" borderId="0" xfId="0" applyNumberFormat="1" applyFont="1" applyBorder="1" applyAlignment="1">
      <alignment horizontal="left" vertical="center" wrapText="1" indent="1"/>
    </xf>
    <xf numFmtId="0" fontId="6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tabSelected="1" zoomScale="90" zoomScaleNormal="90" workbookViewId="0">
      <selection activeCell="G5" sqref="G5"/>
    </sheetView>
  </sheetViews>
  <sheetFormatPr baseColWidth="10" defaultRowHeight="14.4" x14ac:dyDescent="0.3"/>
  <cols>
    <col min="1" max="1" width="21.5546875" customWidth="1"/>
    <col min="2" max="2" width="21.44140625" customWidth="1"/>
    <col min="3" max="3" width="30.21875" customWidth="1"/>
    <col min="4" max="4" width="22.88671875" customWidth="1"/>
    <col min="5" max="5" width="32" customWidth="1"/>
    <col min="6" max="6" width="31.88671875" customWidth="1"/>
    <col min="7" max="7" width="15.44140625" customWidth="1"/>
    <col min="8" max="8" width="38.109375" customWidth="1"/>
    <col min="9" max="9" width="14.77734375" customWidth="1"/>
    <col min="10" max="10" width="27.21875" customWidth="1"/>
  </cols>
  <sheetData>
    <row r="1" spans="1:9" ht="34.799999999999997" x14ac:dyDescent="0.3">
      <c r="A1" s="8" t="s">
        <v>20</v>
      </c>
      <c r="B1" s="8" t="s">
        <v>21</v>
      </c>
      <c r="C1" s="8" t="s">
        <v>22</v>
      </c>
      <c r="D1" s="8" t="s">
        <v>23</v>
      </c>
      <c r="E1" s="12" t="s">
        <v>28</v>
      </c>
      <c r="F1" s="13" t="s">
        <v>1</v>
      </c>
      <c r="G1" s="13"/>
      <c r="H1" t="s">
        <v>22</v>
      </c>
      <c r="I1" t="s">
        <v>30</v>
      </c>
    </row>
    <row r="2" spans="1:9" ht="66" x14ac:dyDescent="0.3">
      <c r="A2" s="9" t="s">
        <v>5</v>
      </c>
      <c r="B2" s="10" t="s">
        <v>6</v>
      </c>
      <c r="C2" s="10">
        <f>VLOOKUP(A2, Matriz_Niveles!A:B, 2, 0)</f>
        <v>1</v>
      </c>
      <c r="D2" s="11">
        <v>0.4</v>
      </c>
      <c r="E2" s="1" t="str">
        <f>IF(D2&lt;=15%, "N", IF(D2&lt;=50%, "P", IF(D2&lt;=85%, "L", "F")))</f>
        <v>P</v>
      </c>
      <c r="F2" s="14" t="s">
        <v>24</v>
      </c>
      <c r="G2" s="14" t="s">
        <v>0</v>
      </c>
      <c r="H2">
        <v>1</v>
      </c>
      <c r="I2">
        <f>AVERAGEIFS(D:D,A:A,"DSS01*",C:C,H2)</f>
        <v>0.4</v>
      </c>
    </row>
    <row r="3" spans="1:9" ht="52.8" x14ac:dyDescent="0.3">
      <c r="A3" s="9" t="s">
        <v>7</v>
      </c>
      <c r="B3" s="10" t="s">
        <v>8</v>
      </c>
      <c r="C3" s="10">
        <f>VLOOKUP(A3, Matriz_Niveles!A:B, 2, 0)</f>
        <v>2</v>
      </c>
      <c r="D3" s="11">
        <v>0</v>
      </c>
      <c r="E3" s="1" t="str">
        <f t="shared" ref="E3:E4" si="0">IF(D3&lt;=15%, "N", IF(D3&lt;=50%, "P", IF(D3&lt;=85%, "L", "F")))</f>
        <v>N</v>
      </c>
      <c r="F3" s="14" t="s">
        <v>25</v>
      </c>
      <c r="G3" s="14" t="s">
        <v>2</v>
      </c>
      <c r="H3">
        <v>2</v>
      </c>
      <c r="I3">
        <f>AVERAGEIFS(D:D,A:A,"DSS01*",C:C,H3)</f>
        <v>2.5000000000000001E-2</v>
      </c>
    </row>
    <row r="4" spans="1:9" ht="52.8" x14ac:dyDescent="0.3">
      <c r="A4" s="9" t="s">
        <v>9</v>
      </c>
      <c r="B4" s="10" t="s">
        <v>10</v>
      </c>
      <c r="C4" s="10">
        <f>VLOOKUP(A4, Matriz_Niveles!A:B, 2, 0)</f>
        <v>2</v>
      </c>
      <c r="D4" s="11">
        <v>0.05</v>
      </c>
      <c r="E4" s="1" t="str">
        <f t="shared" si="0"/>
        <v>N</v>
      </c>
      <c r="F4" s="14" t="s">
        <v>26</v>
      </c>
      <c r="G4" s="14" t="s">
        <v>3</v>
      </c>
      <c r="H4">
        <v>3</v>
      </c>
    </row>
    <row r="5" spans="1:9" x14ac:dyDescent="0.3">
      <c r="A5" s="5"/>
      <c r="B5" s="6"/>
      <c r="C5" s="6"/>
      <c r="D5" s="7"/>
      <c r="F5" s="14" t="s">
        <v>27</v>
      </c>
      <c r="G5" s="14" t="s">
        <v>4</v>
      </c>
      <c r="H5">
        <v>4</v>
      </c>
    </row>
    <row r="6" spans="1:9" x14ac:dyDescent="0.3">
      <c r="A6" s="5"/>
      <c r="B6" s="6"/>
      <c r="C6" s="6"/>
      <c r="D6" s="7"/>
      <c r="H6">
        <v>5</v>
      </c>
    </row>
    <row r="7" spans="1:9" x14ac:dyDescent="0.3">
      <c r="A7" s="5"/>
      <c r="B7" s="6"/>
      <c r="C7" s="6"/>
      <c r="D7" s="7"/>
    </row>
    <row r="8" spans="1:9" ht="18" x14ac:dyDescent="0.35">
      <c r="A8" s="5"/>
      <c r="B8" s="6"/>
      <c r="C8" s="6"/>
      <c r="D8" s="7"/>
      <c r="H8" s="15" t="s">
        <v>31</v>
      </c>
      <c r="I8">
        <f>IF(I2&lt;=50%, 0, IF(I3&lt;=50%, 1, IF(I4&lt;=50%, 2, IF(I5&lt;=50%, 3, IF(I6&lt;=50%, 4, 5)))))</f>
        <v>0</v>
      </c>
    </row>
    <row r="9" spans="1:9" x14ac:dyDescent="0.3">
      <c r="A9" s="5"/>
      <c r="B9" s="6"/>
      <c r="C9" s="6"/>
      <c r="D9" s="7"/>
    </row>
    <row r="10" spans="1:9" x14ac:dyDescent="0.3">
      <c r="A10" s="5"/>
      <c r="B10" s="6"/>
      <c r="C10" s="6"/>
      <c r="D10" s="7"/>
    </row>
    <row r="11" spans="1:9" x14ac:dyDescent="0.3">
      <c r="A11" s="5"/>
      <c r="B11" s="6"/>
      <c r="C11" s="6"/>
      <c r="D11" s="7"/>
    </row>
    <row r="12" spans="1:9" x14ac:dyDescent="0.3">
      <c r="A12" s="5"/>
      <c r="B12" s="6"/>
      <c r="C12" s="6"/>
      <c r="D12" s="7"/>
    </row>
    <row r="13" spans="1:9" x14ac:dyDescent="0.3">
      <c r="A13" s="5"/>
      <c r="B13" s="6"/>
      <c r="C13" s="6"/>
      <c r="D13" s="7"/>
    </row>
    <row r="14" spans="1:9" ht="17.399999999999999" x14ac:dyDescent="0.3">
      <c r="A14" s="4"/>
    </row>
  </sheetData>
  <mergeCells count="1">
    <mergeCell ref="F1:G1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E26" sqref="E26"/>
    </sheetView>
  </sheetViews>
  <sheetFormatPr baseColWidth="10" defaultRowHeight="14.4" x14ac:dyDescent="0.3"/>
  <sheetData>
    <row r="1" spans="1:2" ht="28.2" thickBot="1" x14ac:dyDescent="0.35">
      <c r="A1" s="2" t="s">
        <v>20</v>
      </c>
      <c r="B1" s="2" t="s">
        <v>29</v>
      </c>
    </row>
    <row r="2" spans="1:2" ht="15" thickBot="1" x14ac:dyDescent="0.35">
      <c r="A2" s="3" t="s">
        <v>5</v>
      </c>
      <c r="B2" s="3">
        <v>1</v>
      </c>
    </row>
    <row r="3" spans="1:2" ht="15" thickBot="1" x14ac:dyDescent="0.35">
      <c r="A3" s="3" t="s">
        <v>7</v>
      </c>
      <c r="B3" s="3">
        <v>2</v>
      </c>
    </row>
    <row r="4" spans="1:2" ht="15" thickBot="1" x14ac:dyDescent="0.35">
      <c r="A4" s="3" t="s">
        <v>9</v>
      </c>
      <c r="B4" s="3">
        <v>2</v>
      </c>
    </row>
    <row r="5" spans="1:2" ht="15" thickBot="1" x14ac:dyDescent="0.35">
      <c r="A5" s="3" t="s">
        <v>12</v>
      </c>
      <c r="B5" s="3">
        <v>2</v>
      </c>
    </row>
    <row r="6" spans="1:2" ht="15" thickBot="1" x14ac:dyDescent="0.35">
      <c r="A6" s="3" t="s">
        <v>11</v>
      </c>
      <c r="B6" s="3">
        <v>1</v>
      </c>
    </row>
    <row r="7" spans="1:2" ht="15" thickBot="1" x14ac:dyDescent="0.35">
      <c r="A7" s="3" t="s">
        <v>13</v>
      </c>
      <c r="B7" s="3">
        <v>2</v>
      </c>
    </row>
    <row r="8" spans="1:2" ht="15" thickBot="1" x14ac:dyDescent="0.35">
      <c r="A8" s="3" t="s">
        <v>14</v>
      </c>
      <c r="B8" s="3">
        <v>2</v>
      </c>
    </row>
    <row r="9" spans="1:2" ht="15" thickBot="1" x14ac:dyDescent="0.35">
      <c r="A9" s="3" t="s">
        <v>15</v>
      </c>
      <c r="B9" s="3">
        <v>2</v>
      </c>
    </row>
    <row r="10" spans="1:2" ht="15" thickBot="1" x14ac:dyDescent="0.35">
      <c r="A10" s="3" t="s">
        <v>16</v>
      </c>
      <c r="B10" s="3">
        <v>3</v>
      </c>
    </row>
    <row r="11" spans="1:2" ht="15" thickBot="1" x14ac:dyDescent="0.35">
      <c r="A11" s="3" t="s">
        <v>17</v>
      </c>
      <c r="B11" s="3">
        <v>1</v>
      </c>
    </row>
    <row r="12" spans="1:2" ht="15" thickBot="1" x14ac:dyDescent="0.35">
      <c r="A12" s="3" t="s">
        <v>18</v>
      </c>
      <c r="B12" s="3">
        <v>3</v>
      </c>
    </row>
    <row r="13" spans="1:2" ht="15" thickBot="1" x14ac:dyDescent="0.35">
      <c r="A13" s="3" t="s">
        <v>19</v>
      </c>
      <c r="B13" s="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Evaluacion_DSS01</vt:lpstr>
      <vt:lpstr>Matriz_Niveles</vt:lpstr>
      <vt:lpstr>Hoja3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 Valdivia</dc:creator>
  <cp:lastModifiedBy>Gerson Valdivia</cp:lastModifiedBy>
  <dcterms:created xsi:type="dcterms:W3CDTF">2026-06-09T03:04:23Z</dcterms:created>
  <dcterms:modified xsi:type="dcterms:W3CDTF">2026-06-09T04:32:51Z</dcterms:modified>
</cp:coreProperties>
</file>